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704001185c0313/Documents/CURSO EXCEL/"/>
    </mc:Choice>
  </mc:AlternateContent>
  <xr:revisionPtr revIDLastSave="282" documentId="8_{3FA65942-C9DF-468E-B0EA-5568C7E8B34C}" xr6:coauthVersionLast="47" xr6:coauthVersionMax="47" xr10:uidLastSave="{C32A6120-63D0-4438-9CB5-DDB5299DC532}"/>
  <bookViews>
    <workbookView xWindow="-120" yWindow="-120" windowWidth="29040" windowHeight="15720" xr2:uid="{6EB58D97-D116-4FEE-B598-F6572D0553C4}"/>
  </bookViews>
  <sheets>
    <sheet name="FIIs - Análise Investimeno" sheetId="1" r:id="rId1"/>
    <sheet name="Perfis" sheetId="2" r:id="rId2"/>
  </sheets>
  <definedNames>
    <definedName name="aporte">'FIIs - Análise Investimeno'!$F$18</definedName>
    <definedName name="perfil">'FIIs - Análise Investimeno'!$F$20</definedName>
    <definedName name="prazo_anos">'FIIs - Análise Investimeno'!$F$19</definedName>
    <definedName name="salario">'FIIs - Análise Investimeno'!$F$15</definedName>
    <definedName name="tax_rendimento">'FIIs - Análise Investimeno'!$F$16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E57" i="1"/>
  <c r="E62" i="1"/>
  <c r="E61" i="1"/>
  <c r="E60" i="1"/>
  <c r="E59" i="1"/>
  <c r="E58" i="1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E55" i="1"/>
  <c r="E34" i="1"/>
  <c r="F34" i="1" s="1"/>
  <c r="E33" i="1"/>
  <c r="F33" i="1" s="1"/>
  <c r="E32" i="1"/>
  <c r="F32" i="1" s="1"/>
  <c r="E31" i="1"/>
  <c r="F31" i="1" s="1"/>
  <c r="E30" i="1"/>
  <c r="F30" i="1" s="1"/>
  <c r="F24" i="1"/>
  <c r="F25" i="1" s="1"/>
  <c r="F17" i="1"/>
  <c r="F62" i="1" l="1"/>
  <c r="F57" i="1"/>
  <c r="F58" i="1"/>
  <c r="F59" i="1"/>
  <c r="F60" i="1"/>
  <c r="F61" i="1"/>
</calcChain>
</file>

<file path=xl/sharedStrings.xml><?xml version="1.0" encoding="utf-8"?>
<sst xmlns="http://schemas.openxmlformats.org/spreadsheetml/2006/main" count="71" uniqueCount="37">
  <si>
    <t>Patrimônio acumulado:</t>
  </si>
  <si>
    <t>Dividendos Mensais:</t>
  </si>
  <si>
    <t>Dividendos</t>
  </si>
  <si>
    <t>Cenários</t>
  </si>
  <si>
    <t>Sálario:</t>
  </si>
  <si>
    <t>Conservador</t>
  </si>
  <si>
    <t>Moderado</t>
  </si>
  <si>
    <t>Agressivo</t>
  </si>
  <si>
    <t>TIPO DE FII</t>
  </si>
  <si>
    <t>PAPEL</t>
  </si>
  <si>
    <t>TIJOLO</t>
  </si>
  <si>
    <t>HÍBRIDOS</t>
  </si>
  <si>
    <t>FOFS</t>
  </si>
  <si>
    <t>DESENVOLVIMENTO</t>
  </si>
  <si>
    <t>HOTELARIA</t>
  </si>
  <si>
    <t>Percentual sugerido</t>
  </si>
  <si>
    <t>TIPO</t>
  </si>
  <si>
    <t>CHAVE</t>
  </si>
  <si>
    <t>PERFIL</t>
  </si>
  <si>
    <t>PERCENTUAL</t>
  </si>
  <si>
    <t>HIBRIDOS</t>
  </si>
  <si>
    <t>CONFIGURAÇÕES</t>
  </si>
  <si>
    <t>Rendimento mensal:</t>
  </si>
  <si>
    <t>Valor do Investimento mensal:</t>
  </si>
  <si>
    <t>Perfil:</t>
  </si>
  <si>
    <t>Sugestão de Investimento mensal (30%):</t>
  </si>
  <si>
    <t>Prazo (anos):</t>
  </si>
  <si>
    <t>Patrimonio acumulado</t>
  </si>
  <si>
    <t>Situação no prazo final</t>
  </si>
  <si>
    <t>Valor</t>
  </si>
  <si>
    <t>Em 2 anos:</t>
  </si>
  <si>
    <t>Em 5 anos:</t>
  </si>
  <si>
    <t>Em 10 anos:</t>
  </si>
  <si>
    <t>Em 20 anos:</t>
  </si>
  <si>
    <t>Em 30 anos:</t>
  </si>
  <si>
    <t>Aporte mensal</t>
  </si>
  <si>
    <t>Perfil (Conservador, Moderado ou Agressivo):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</si>
</sst>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72" formatCode="&quot;R$&quot;\ #,##0.00"/>
    <numFmt numFmtId="173" formatCode="#,##0_ ;\-#,##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medium">
        <color auto="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/>
      <top style="thin">
        <color theme="2" tint="-0.24994659260841701"/>
      </top>
      <bottom style="medium">
        <color indexed="6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thin">
        <color theme="2" tint="-0.24994659260841701"/>
      </bottom>
      <diagonal/>
    </border>
    <border>
      <left style="thick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ck">
        <color auto="1"/>
      </left>
      <right style="thin">
        <color theme="2" tint="-0.24994659260841701"/>
      </right>
      <top style="thin">
        <color theme="2" tint="-0.2499465926084170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ck">
        <color theme="1"/>
      </bottom>
      <diagonal/>
    </border>
    <border>
      <left style="thick">
        <color auto="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ck">
        <color auto="1"/>
      </right>
      <top/>
      <bottom style="thin">
        <color theme="2" tint="-0.2499465926084170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2" tint="-0.24994659260841701"/>
      </left>
      <right style="thick">
        <color auto="1"/>
      </right>
      <top style="thin">
        <color theme="2" tint="-0.24994659260841701"/>
      </top>
      <bottom style="thick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9" fontId="0" fillId="0" borderId="5" xfId="0" applyNumberFormat="1" applyBorder="1"/>
    <xf numFmtId="0" fontId="2" fillId="4" borderId="0" xfId="0" applyFont="1" applyFill="1" applyBorder="1"/>
    <xf numFmtId="0" fontId="0" fillId="0" borderId="0" xfId="0" applyFont="1"/>
    <xf numFmtId="0" fontId="0" fillId="0" borderId="0" xfId="0" applyBorder="1"/>
    <xf numFmtId="0" fontId="0" fillId="4" borderId="0" xfId="0" applyFill="1" applyBorder="1"/>
    <xf numFmtId="0" fontId="0" fillId="0" borderId="0" xfId="0" applyFont="1" applyBorder="1"/>
    <xf numFmtId="0" fontId="0" fillId="0" borderId="13" xfId="0" applyBorder="1"/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/>
    </xf>
    <xf numFmtId="172" fontId="0" fillId="0" borderId="19" xfId="2" applyNumberFormat="1" applyFont="1" applyBorder="1" applyAlignment="1">
      <alignment horizontal="center" vertical="center"/>
    </xf>
    <xf numFmtId="9" fontId="0" fillId="4" borderId="21" xfId="3" applyFont="1" applyFill="1" applyBorder="1" applyAlignment="1">
      <alignment horizontal="center" vertical="center"/>
    </xf>
    <xf numFmtId="172" fontId="0" fillId="6" borderId="21" xfId="2" applyNumberFormat="1" applyFont="1" applyFill="1" applyBorder="1" applyAlignment="1">
      <alignment horizontal="center" vertical="center"/>
    </xf>
    <xf numFmtId="172" fontId="0" fillId="0" borderId="21" xfId="2" applyNumberFormat="1" applyFont="1" applyBorder="1" applyAlignment="1">
      <alignment horizontal="center" vertical="center"/>
    </xf>
    <xf numFmtId="173" fontId="0" fillId="0" borderId="21" xfId="1" applyNumberFormat="1" applyFont="1" applyBorder="1" applyAlignment="1">
      <alignment horizontal="center" vertical="center"/>
    </xf>
    <xf numFmtId="172" fontId="0" fillId="0" borderId="24" xfId="2" applyNumberFormat="1" applyFont="1" applyBorder="1" applyAlignment="1">
      <alignment horizontal="center" vertical="center"/>
    </xf>
    <xf numFmtId="0" fontId="0" fillId="4" borderId="25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3" fillId="4" borderId="27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left"/>
    </xf>
    <xf numFmtId="0" fontId="3" fillId="6" borderId="27" xfId="0" applyFont="1" applyFill="1" applyBorder="1" applyAlignment="1">
      <alignment horizontal="left"/>
    </xf>
    <xf numFmtId="0" fontId="3" fillId="6" borderId="16" xfId="0" applyFont="1" applyFill="1" applyBorder="1" applyAlignment="1">
      <alignment horizontal="left"/>
    </xf>
    <xf numFmtId="0" fontId="3" fillId="4" borderId="28" xfId="0" applyFont="1" applyFill="1" applyBorder="1" applyAlignment="1">
      <alignment horizontal="left"/>
    </xf>
    <xf numFmtId="0" fontId="3" fillId="4" borderId="29" xfId="0" applyFont="1" applyFill="1" applyBorder="1" applyAlignment="1">
      <alignment horizontal="left"/>
    </xf>
    <xf numFmtId="8" fontId="0" fillId="2" borderId="31" xfId="0" applyNumberFormat="1" applyFont="1" applyFill="1" applyBorder="1" applyAlignment="1">
      <alignment horizontal="center"/>
    </xf>
    <xf numFmtId="8" fontId="0" fillId="2" borderId="24" xfId="0" applyNumberFormat="1" applyFont="1" applyFill="1" applyBorder="1" applyAlignment="1">
      <alignment horizontal="center"/>
    </xf>
    <xf numFmtId="0" fontId="0" fillId="2" borderId="28" xfId="0" applyFont="1" applyFill="1" applyBorder="1" applyAlignment="1">
      <alignment horizontal="left"/>
    </xf>
    <xf numFmtId="0" fontId="0" fillId="2" borderId="29" xfId="0" applyFont="1" applyFill="1" applyBorder="1" applyAlignment="1">
      <alignment horizontal="left"/>
    </xf>
    <xf numFmtId="0" fontId="0" fillId="2" borderId="25" xfId="0" applyFont="1" applyFill="1" applyBorder="1" applyAlignment="1">
      <alignment horizontal="left"/>
    </xf>
    <xf numFmtId="0" fontId="0" fillId="2" borderId="26" xfId="0" applyFont="1" applyFill="1" applyBorder="1" applyAlignment="1">
      <alignment horizontal="left"/>
    </xf>
    <xf numFmtId="0" fontId="0" fillId="2" borderId="20" xfId="0" applyFont="1" applyFill="1" applyBorder="1" applyAlignment="1">
      <alignment horizontal="left"/>
    </xf>
    <xf numFmtId="172" fontId="0" fillId="2" borderId="17" xfId="0" applyNumberFormat="1" applyFont="1" applyFill="1" applyBorder="1" applyAlignment="1">
      <alignment horizontal="center"/>
    </xf>
    <xf numFmtId="8" fontId="0" fillId="2" borderId="21" xfId="0" applyNumberFormat="1" applyFont="1" applyFill="1" applyBorder="1"/>
    <xf numFmtId="0" fontId="0" fillId="2" borderId="22" xfId="0" applyFont="1" applyFill="1" applyBorder="1" applyAlignment="1">
      <alignment horizontal="left"/>
    </xf>
    <xf numFmtId="172" fontId="0" fillId="2" borderId="23" xfId="0" applyNumberFormat="1" applyFont="1" applyFill="1" applyBorder="1" applyAlignment="1">
      <alignment horizontal="center"/>
    </xf>
    <xf numFmtId="8" fontId="0" fillId="2" borderId="24" xfId="0" applyNumberFormat="1" applyFont="1" applyFill="1" applyBorder="1"/>
    <xf numFmtId="0" fontId="0" fillId="2" borderId="32" xfId="0" applyFont="1" applyFill="1" applyBorder="1"/>
    <xf numFmtId="9" fontId="0" fillId="2" borderId="17" xfId="0" applyNumberFormat="1" applyFont="1" applyFill="1" applyBorder="1"/>
    <xf numFmtId="0" fontId="0" fillId="2" borderId="33" xfId="0" applyFont="1" applyFill="1" applyBorder="1"/>
    <xf numFmtId="0" fontId="0" fillId="0" borderId="34" xfId="0" applyBorder="1"/>
    <xf numFmtId="9" fontId="0" fillId="0" borderId="35" xfId="0" applyNumberFormat="1" applyBorder="1"/>
    <xf numFmtId="0" fontId="0" fillId="0" borderId="36" xfId="0" applyBorder="1"/>
    <xf numFmtId="0" fontId="0" fillId="0" borderId="37" xfId="0" applyBorder="1"/>
    <xf numFmtId="9" fontId="0" fillId="0" borderId="38" xfId="0" applyNumberFormat="1" applyBorder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0" fillId="0" borderId="42" xfId="0" applyBorder="1"/>
    <xf numFmtId="0" fontId="0" fillId="0" borderId="30" xfId="0" applyBorder="1"/>
    <xf numFmtId="9" fontId="0" fillId="0" borderId="43" xfId="0" applyNumberFormat="1" applyBorder="1"/>
    <xf numFmtId="0" fontId="0" fillId="0" borderId="44" xfId="0" applyBorder="1"/>
    <xf numFmtId="9" fontId="0" fillId="0" borderId="3" xfId="0" applyNumberFormat="1" applyBorder="1"/>
    <xf numFmtId="0" fontId="0" fillId="0" borderId="6" xfId="0" applyBorder="1"/>
    <xf numFmtId="0" fontId="0" fillId="0" borderId="45" xfId="0" applyBorder="1"/>
    <xf numFmtId="9" fontId="0" fillId="0" borderId="7" xfId="0" applyNumberFormat="1" applyBorder="1"/>
    <xf numFmtId="9" fontId="0" fillId="2" borderId="46" xfId="0" applyNumberFormat="1" applyFont="1" applyFill="1" applyBorder="1"/>
    <xf numFmtId="0" fontId="0" fillId="2" borderId="18" xfId="0" applyFont="1" applyFill="1" applyBorder="1" applyAlignment="1">
      <alignment horizontal="left"/>
    </xf>
    <xf numFmtId="172" fontId="0" fillId="2" borderId="15" xfId="0" applyNumberFormat="1" applyFont="1" applyFill="1" applyBorder="1" applyAlignment="1">
      <alignment horizontal="center"/>
    </xf>
    <xf numFmtId="8" fontId="0" fillId="2" borderId="19" xfId="0" applyNumberFormat="1" applyFont="1" applyFill="1" applyBorder="1"/>
    <xf numFmtId="0" fontId="5" fillId="3" borderId="2" xfId="0" applyFont="1" applyFill="1" applyBorder="1" applyAlignment="1">
      <alignment horizontal="left"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5" fillId="3" borderId="4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0" fillId="2" borderId="47" xfId="0" applyFont="1" applyFill="1" applyBorder="1"/>
    <xf numFmtId="9" fontId="0" fillId="2" borderId="15" xfId="0" applyNumberFormat="1" applyFont="1" applyFill="1" applyBorder="1"/>
    <xf numFmtId="172" fontId="0" fillId="2" borderId="48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7" borderId="49" xfId="0" applyFont="1" applyFill="1" applyBorder="1" applyAlignment="1">
      <alignment horizontal="center"/>
    </xf>
    <xf numFmtId="172" fontId="2" fillId="7" borderId="51" xfId="0" applyNumberFormat="1" applyFont="1" applyFill="1" applyBorder="1" applyAlignment="1">
      <alignment horizontal="center"/>
    </xf>
    <xf numFmtId="0" fontId="2" fillId="7" borderId="9" xfId="0" applyFont="1" applyFill="1" applyBorder="1" applyAlignment="1">
      <alignment horizontal="left"/>
    </xf>
    <xf numFmtId="172" fontId="2" fillId="7" borderId="50" xfId="0" applyNumberFormat="1" applyFont="1" applyFill="1" applyBorder="1" applyAlignment="1">
      <alignment horizontal="left"/>
    </xf>
    <xf numFmtId="0" fontId="2" fillId="7" borderId="8" xfId="0" applyFont="1" applyFill="1" applyBorder="1" applyAlignment="1">
      <alignment horizontal="center"/>
    </xf>
    <xf numFmtId="172" fontId="0" fillId="2" borderId="52" xfId="0" applyNumberFormat="1" applyFont="1" applyFill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Distribuição entre os FIIs</a:t>
            </a:r>
          </a:p>
        </c:rich>
      </c:tx>
      <c:layout>
        <c:manualLayout>
          <c:xMode val="edge"/>
          <c:yMode val="edge"/>
          <c:x val="0.22734011373578303"/>
          <c:y val="2.7777777777777776E-2"/>
        </c:manualLayout>
      </c:layout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FDD-44CE-9311-D11F4AED33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'FIIs - Análise Investimeno'!$D$57:$D$62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'FIIs - Análise Investimeno'!$E$57:$E$62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D-44CE-9311-D11F4AED336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'FIIs - Análise Investimeno'!$D$57:$D$62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'FIIs - Análise Investimeno'!$F$57:$F$62</c:f>
              <c:numCache>
                <c:formatCode>"R$"\ #,##0.00</c:formatCode>
                <c:ptCount val="6"/>
                <c:pt idx="0">
                  <c:v>500</c:v>
                </c:pt>
                <c:pt idx="1">
                  <c:v>100</c:v>
                </c:pt>
                <c:pt idx="2">
                  <c:v>50</c:v>
                </c:pt>
                <c:pt idx="3">
                  <c:v>50</c:v>
                </c:pt>
                <c:pt idx="4">
                  <c:v>200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D-44CE-9311-D11F4AED33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Patrimônio Acumulado    </a:t>
            </a:r>
          </a:p>
        </c:rich>
      </c:tx>
      <c:layout>
        <c:manualLayout>
          <c:xMode val="edge"/>
          <c:yMode val="edge"/>
          <c:x val="0.23669041369828772"/>
          <c:y val="0"/>
        </c:manualLayout>
      </c:layout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6582527184102"/>
          <c:y val="0.16349526673957765"/>
          <c:w val="0.75091885389326329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'FIIs - Análise Investimeno'!$D$30:$D$34</c:f>
              <c:strCache>
                <c:ptCount val="5"/>
                <c:pt idx="0">
                  <c:v>Em 2 anos:</c:v>
                </c:pt>
                <c:pt idx="1">
                  <c:v>Em 5 anos:</c:v>
                </c:pt>
                <c:pt idx="2">
                  <c:v>Em 10 anos:</c:v>
                </c:pt>
                <c:pt idx="3">
                  <c:v>Em 20 anos:</c:v>
                </c:pt>
                <c:pt idx="4">
                  <c:v>Em 30 anos:</c:v>
                </c:pt>
              </c:strCache>
            </c:strRef>
          </c:cat>
          <c:val>
            <c:numRef>
              <c:f>'FIIs - Análise Investimeno'!$E$30:$E$34</c:f>
              <c:numCache>
                <c:formatCode>"R$"\ #,##0.00</c:formatCode>
                <c:ptCount val="5"/>
                <c:pt idx="0">
                  <c:v>30421.862473761252</c:v>
                </c:pt>
                <c:pt idx="1">
                  <c:v>114051.53941827051</c:v>
                </c:pt>
                <c:pt idx="2">
                  <c:v>488258.15171008714</c:v>
                </c:pt>
                <c:pt idx="3">
                  <c:v>5744436.7576471847</c:v>
                </c:pt>
                <c:pt idx="4">
                  <c:v>62328056.387443289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7-4C8B-8D60-B03EED8CD4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05799664"/>
        <c:axId val="1505796784"/>
      </c:barChart>
      <c:catAx>
        <c:axId val="150579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796784"/>
        <c:crosses val="autoZero"/>
        <c:auto val="1"/>
        <c:lblAlgn val="ctr"/>
        <c:lblOffset val="100"/>
        <c:noMultiLvlLbl val="0"/>
      </c:catAx>
      <c:valAx>
        <c:axId val="1505796784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579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inforex.com.br/mercados/fidcs-crescem-225-e-alcancam-r-7411-bi-em-doze-meses-encerrados-em-novembro-de-2025-igdl/" TargetMode="External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</xdr:row>
      <xdr:rowOff>180975</xdr:rowOff>
    </xdr:from>
    <xdr:to>
      <xdr:col>6</xdr:col>
      <xdr:colOff>9525</xdr:colOff>
      <xdr:row>11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9AAC10-1EB7-05C0-C154-5119051EB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09600" y="371475"/>
          <a:ext cx="4962525" cy="1905000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63</xdr:row>
      <xdr:rowOff>119062</xdr:rowOff>
    </xdr:from>
    <xdr:to>
      <xdr:col>5</xdr:col>
      <xdr:colOff>857250</xdr:colOff>
      <xdr:row>78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0D98D7-D18C-06C3-7C7F-A27F654B7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35</xdr:row>
      <xdr:rowOff>66674</xdr:rowOff>
    </xdr:from>
    <xdr:to>
      <xdr:col>6</xdr:col>
      <xdr:colOff>28575</xdr:colOff>
      <xdr:row>52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B695A4C-5D99-2F1A-E04B-24C71B431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0C33-4D69-4023-9FE0-85DE6757A8FE}">
  <dimension ref="A1:L80"/>
  <sheetViews>
    <sheetView showGridLines="0" tabSelected="1" topLeftCell="C1" workbookViewId="0">
      <selection activeCell="F20" sqref="F20"/>
    </sheetView>
  </sheetViews>
  <sheetFormatPr defaultColWidth="0" defaultRowHeight="15" zeroHeight="1" x14ac:dyDescent="0.25"/>
  <cols>
    <col min="1" max="1" width="0" hidden="1" customWidth="1"/>
    <col min="2" max="2" width="9.140625" hidden="1" customWidth="1"/>
    <col min="3" max="3" width="9.140625" customWidth="1"/>
    <col min="4" max="4" width="27.140625" bestFit="1" customWidth="1"/>
    <col min="5" max="5" width="31.7109375" customWidth="1"/>
    <col min="6" max="6" width="15.42578125" customWidth="1"/>
    <col min="7" max="7" width="9.140625" customWidth="1"/>
    <col min="13" max="16384" width="9.140625" hidden="1"/>
  </cols>
  <sheetData>
    <row r="1" spans="4:6" x14ac:dyDescent="0.25"/>
    <row r="2" spans="4:6" x14ac:dyDescent="0.25"/>
    <row r="3" spans="4:6" x14ac:dyDescent="0.25"/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ht="15.75" thickBot="1" x14ac:dyDescent="0.3"/>
    <row r="13" spans="4:6" x14ac:dyDescent="0.25">
      <c r="D13" s="11" t="s">
        <v>21</v>
      </c>
      <c r="E13" s="12"/>
      <c r="F13" s="13"/>
    </row>
    <row r="14" spans="4:6" ht="15.75" thickBot="1" x14ac:dyDescent="0.3">
      <c r="D14" s="14"/>
      <c r="E14" s="15"/>
      <c r="F14" s="16"/>
    </row>
    <row r="15" spans="4:6" x14ac:dyDescent="0.25">
      <c r="D15" s="30" t="s">
        <v>4</v>
      </c>
      <c r="E15" s="31"/>
      <c r="F15" s="24">
        <v>4200</v>
      </c>
    </row>
    <row r="16" spans="4:6" ht="15.75" x14ac:dyDescent="0.25">
      <c r="D16" s="32" t="s">
        <v>22</v>
      </c>
      <c r="E16" s="33"/>
      <c r="F16" s="25">
        <v>0.02</v>
      </c>
    </row>
    <row r="17" spans="1:12" ht="15.75" x14ac:dyDescent="0.25">
      <c r="D17" s="34" t="s">
        <v>25</v>
      </c>
      <c r="E17" s="35"/>
      <c r="F17" s="26">
        <f>F15*30%</f>
        <v>1260</v>
      </c>
    </row>
    <row r="18" spans="1:12" ht="15.75" x14ac:dyDescent="0.25">
      <c r="D18" s="32" t="s">
        <v>23</v>
      </c>
      <c r="E18" s="33"/>
      <c r="F18" s="27">
        <v>1000</v>
      </c>
    </row>
    <row r="19" spans="1:12" ht="15.75" x14ac:dyDescent="0.25">
      <c r="D19" s="32" t="s">
        <v>26</v>
      </c>
      <c r="E19" s="33"/>
      <c r="F19" s="28">
        <v>5</v>
      </c>
      <c r="L19" s="10"/>
    </row>
    <row r="20" spans="1:12" ht="16.5" thickBot="1" x14ac:dyDescent="0.3">
      <c r="D20" s="36" t="s">
        <v>36</v>
      </c>
      <c r="E20" s="37"/>
      <c r="F20" s="29" t="s">
        <v>7</v>
      </c>
    </row>
    <row r="21" spans="1:12" ht="15.75" thickBot="1" x14ac:dyDescent="0.3">
      <c r="D21" s="7"/>
      <c r="E21" s="7"/>
      <c r="F21" s="7"/>
    </row>
    <row r="22" spans="1:12" x14ac:dyDescent="0.25">
      <c r="D22" s="17" t="s">
        <v>28</v>
      </c>
      <c r="E22" s="18"/>
      <c r="F22" s="19"/>
      <c r="G22" s="7"/>
    </row>
    <row r="23" spans="1:12" ht="15.75" thickBot="1" x14ac:dyDescent="0.3">
      <c r="D23" s="22"/>
      <c r="E23" s="20"/>
      <c r="F23" s="21"/>
      <c r="G23" s="7"/>
    </row>
    <row r="24" spans="1:12" x14ac:dyDescent="0.25">
      <c r="D24" s="42" t="s">
        <v>0</v>
      </c>
      <c r="E24" s="43"/>
      <c r="F24" s="38">
        <f>FV(tax_rendimento,prazo_anos*12,aporte)*-1</f>
        <v>114051.53941827051</v>
      </c>
      <c r="G24" s="7"/>
    </row>
    <row r="25" spans="1:12" ht="15.75" thickBot="1" x14ac:dyDescent="0.3">
      <c r="D25" s="40" t="s">
        <v>1</v>
      </c>
      <c r="E25" s="41"/>
      <c r="F25" s="39">
        <f>F24*tax_rendimento</f>
        <v>2281.03078836541</v>
      </c>
    </row>
    <row r="26" spans="1:12" x14ac:dyDescent="0.25">
      <c r="D26" s="8"/>
      <c r="E26" s="7"/>
      <c r="F26" s="7"/>
    </row>
    <row r="27" spans="1:12" ht="15.75" thickBot="1" x14ac:dyDescent="0.3">
      <c r="D27" s="5"/>
      <c r="E27" s="7"/>
      <c r="F27" s="7"/>
    </row>
    <row r="28" spans="1:12" ht="15" customHeight="1" x14ac:dyDescent="0.25">
      <c r="D28" s="73" t="s">
        <v>3</v>
      </c>
      <c r="E28" s="74" t="s">
        <v>27</v>
      </c>
      <c r="F28" s="75" t="s">
        <v>2</v>
      </c>
    </row>
    <row r="29" spans="1:12" ht="15" customHeight="1" thickBot="1" x14ac:dyDescent="0.3">
      <c r="D29" s="76"/>
      <c r="E29" s="77"/>
      <c r="F29" s="78"/>
    </row>
    <row r="30" spans="1:12" x14ac:dyDescent="0.25">
      <c r="A30">
        <v>2</v>
      </c>
      <c r="D30" s="70" t="s">
        <v>30</v>
      </c>
      <c r="E30" s="71">
        <f>FV(tax_rendimento,A30*12,aporte)*-1</f>
        <v>30421.862473761252</v>
      </c>
      <c r="F30" s="72">
        <f>E30*tax_rendimento</f>
        <v>608.43724947522503</v>
      </c>
    </row>
    <row r="31" spans="1:12" x14ac:dyDescent="0.25">
      <c r="A31">
        <v>5</v>
      </c>
      <c r="D31" s="44" t="s">
        <v>31</v>
      </c>
      <c r="E31" s="45">
        <f>FV(tax_rendimento,A31*12,aporte)*-1</f>
        <v>114051.53941827051</v>
      </c>
      <c r="F31" s="46">
        <f>E31*tax_rendimento</f>
        <v>2281.03078836541</v>
      </c>
    </row>
    <row r="32" spans="1:12" x14ac:dyDescent="0.25">
      <c r="A32">
        <v>10</v>
      </c>
      <c r="D32" s="44" t="s">
        <v>32</v>
      </c>
      <c r="E32" s="45">
        <f>FV(tax_rendimento,A32*12,aporte)*-1</f>
        <v>488258.15171008714</v>
      </c>
      <c r="F32" s="46">
        <f>E32*tax_rendimento</f>
        <v>9765.1630342017434</v>
      </c>
    </row>
    <row r="33" spans="1:6" x14ac:dyDescent="0.25">
      <c r="A33">
        <v>20</v>
      </c>
      <c r="D33" s="44" t="s">
        <v>33</v>
      </c>
      <c r="E33" s="45">
        <f>FV(tax_rendimento,A33*12,aporte)*-1</f>
        <v>5744436.7576471847</v>
      </c>
      <c r="F33" s="46">
        <f>E33*tax_rendimento</f>
        <v>114888.7351529437</v>
      </c>
    </row>
    <row r="34" spans="1:6" ht="15.75" thickBot="1" x14ac:dyDescent="0.3">
      <c r="A34">
        <v>30</v>
      </c>
      <c r="D34" s="47" t="s">
        <v>34</v>
      </c>
      <c r="E34" s="48">
        <f>FV(tax_rendimento,A34*12,aporte)*-1</f>
        <v>62328056.387443289</v>
      </c>
      <c r="F34" s="49">
        <f>E34*tax_rendimento</f>
        <v>1246561.1277488659</v>
      </c>
    </row>
    <row r="35" spans="1:6" x14ac:dyDescent="0.25">
      <c r="D35" s="9"/>
      <c r="E35" s="9"/>
      <c r="F35" s="9"/>
    </row>
    <row r="36" spans="1:6" x14ac:dyDescent="0.25">
      <c r="D36" s="9"/>
      <c r="E36" s="9"/>
      <c r="F36" s="9"/>
    </row>
    <row r="37" spans="1:6" x14ac:dyDescent="0.25">
      <c r="D37" s="9"/>
      <c r="E37" s="9"/>
      <c r="F37" s="9"/>
    </row>
    <row r="38" spans="1:6" x14ac:dyDescent="0.25">
      <c r="D38" s="9"/>
      <c r="E38" s="9"/>
      <c r="F38" s="9"/>
    </row>
    <row r="39" spans="1:6" x14ac:dyDescent="0.25">
      <c r="D39" s="9"/>
      <c r="E39" s="9"/>
      <c r="F39" s="9"/>
    </row>
    <row r="40" spans="1:6" x14ac:dyDescent="0.25">
      <c r="D40" s="9"/>
      <c r="E40" s="9"/>
      <c r="F40" s="9"/>
    </row>
    <row r="41" spans="1:6" x14ac:dyDescent="0.25">
      <c r="D41" s="9"/>
      <c r="E41" s="9"/>
      <c r="F41" s="9"/>
    </row>
    <row r="42" spans="1:6" x14ac:dyDescent="0.25">
      <c r="D42" s="9"/>
      <c r="E42" s="9"/>
      <c r="F42" s="9"/>
    </row>
    <row r="43" spans="1:6" x14ac:dyDescent="0.25">
      <c r="D43" s="9"/>
      <c r="E43" s="9"/>
      <c r="F43" s="9"/>
    </row>
    <row r="44" spans="1:6" x14ac:dyDescent="0.25">
      <c r="D44" s="9"/>
      <c r="E44" s="9"/>
      <c r="F44" s="9"/>
    </row>
    <row r="45" spans="1:6" x14ac:dyDescent="0.25">
      <c r="D45" s="9"/>
      <c r="E45" s="9"/>
      <c r="F45" s="9"/>
    </row>
    <row r="46" spans="1:6" x14ac:dyDescent="0.25">
      <c r="D46" s="9"/>
      <c r="E46" s="9"/>
      <c r="F46" s="9"/>
    </row>
    <row r="47" spans="1:6" x14ac:dyDescent="0.25">
      <c r="D47" s="9"/>
      <c r="E47" s="9"/>
      <c r="F47" s="9"/>
    </row>
    <row r="48" spans="1:6" x14ac:dyDescent="0.25">
      <c r="D48" s="9"/>
      <c r="E48" s="9"/>
      <c r="F48" s="9"/>
    </row>
    <row r="49" spans="4:6" x14ac:dyDescent="0.25">
      <c r="D49" s="9"/>
      <c r="E49" s="9"/>
      <c r="F49" s="9"/>
    </row>
    <row r="50" spans="4:6" x14ac:dyDescent="0.25">
      <c r="D50" s="9"/>
      <c r="E50" s="9"/>
      <c r="F50" s="9"/>
    </row>
    <row r="51" spans="4:6" x14ac:dyDescent="0.25">
      <c r="D51" s="9"/>
      <c r="E51" s="9"/>
      <c r="F51" s="9"/>
    </row>
    <row r="52" spans="4:6" x14ac:dyDescent="0.25">
      <c r="D52" s="9"/>
      <c r="E52" s="9"/>
      <c r="F52" s="9"/>
    </row>
    <row r="53" spans="4:6" ht="15.75" thickBot="1" x14ac:dyDescent="0.3">
      <c r="D53" s="9"/>
      <c r="E53" s="9"/>
      <c r="F53" s="9"/>
    </row>
    <row r="54" spans="4:6" x14ac:dyDescent="0.25">
      <c r="D54" s="87" t="s">
        <v>24</v>
      </c>
      <c r="E54" s="85" t="s">
        <v>5</v>
      </c>
      <c r="F54" s="23"/>
    </row>
    <row r="55" spans="4:6" x14ac:dyDescent="0.25">
      <c r="D55" s="83" t="s">
        <v>35</v>
      </c>
      <c r="E55" s="86">
        <f>aporte</f>
        <v>1000</v>
      </c>
      <c r="F55" s="84"/>
    </row>
    <row r="56" spans="4:6" x14ac:dyDescent="0.25">
      <c r="D56" s="82" t="s">
        <v>8</v>
      </c>
      <c r="E56" s="82" t="s">
        <v>15</v>
      </c>
      <c r="F56" s="82" t="s">
        <v>29</v>
      </c>
    </row>
    <row r="57" spans="4:6" x14ac:dyDescent="0.25">
      <c r="D57" s="79" t="s">
        <v>9</v>
      </c>
      <c r="E57" s="80">
        <f>VLOOKUP(perfil&amp;"-"&amp;D57,Perfis!$A:$D,4,)</f>
        <v>0.5</v>
      </c>
      <c r="F57" s="81">
        <f>$E$55*E57</f>
        <v>500</v>
      </c>
    </row>
    <row r="58" spans="4:6" x14ac:dyDescent="0.25">
      <c r="D58" s="50" t="s">
        <v>10</v>
      </c>
      <c r="E58" s="51">
        <f>VLOOKUP(perfil&amp;"-"&amp;D58,Perfis!$A:$D,4,)</f>
        <v>0.1</v>
      </c>
      <c r="F58" s="81">
        <f t="shared" ref="F58:F62" si="0">$E$55*E58</f>
        <v>100</v>
      </c>
    </row>
    <row r="59" spans="4:6" x14ac:dyDescent="0.25">
      <c r="D59" s="50" t="s">
        <v>20</v>
      </c>
      <c r="E59" s="51">
        <f>VLOOKUP(perfil&amp;"-"&amp;D59,Perfis!$A:$D,4,)</f>
        <v>0.05</v>
      </c>
      <c r="F59" s="81">
        <f t="shared" si="0"/>
        <v>50</v>
      </c>
    </row>
    <row r="60" spans="4:6" x14ac:dyDescent="0.25">
      <c r="D60" s="50" t="s">
        <v>12</v>
      </c>
      <c r="E60" s="51">
        <f>VLOOKUP(perfil&amp;"-"&amp;D60,Perfis!$A:$D,4,)</f>
        <v>0.05</v>
      </c>
      <c r="F60" s="81">
        <f t="shared" si="0"/>
        <v>50</v>
      </c>
    </row>
    <row r="61" spans="4:6" x14ac:dyDescent="0.25">
      <c r="D61" s="50" t="s">
        <v>13</v>
      </c>
      <c r="E61" s="51">
        <f>VLOOKUP(perfil&amp;"-"&amp;D61,Perfis!$A:$D,4,)</f>
        <v>0.2</v>
      </c>
      <c r="F61" s="81">
        <f t="shared" si="0"/>
        <v>200</v>
      </c>
    </row>
    <row r="62" spans="4:6" ht="15.75" thickBot="1" x14ac:dyDescent="0.3">
      <c r="D62" s="52" t="s">
        <v>14</v>
      </c>
      <c r="E62" s="69">
        <f>VLOOKUP(perfil&amp;"-"&amp;D62,Perfis!$A:$D,4,)</f>
        <v>0.1</v>
      </c>
      <c r="F62" s="88">
        <f t="shared" si="0"/>
        <v>100</v>
      </c>
    </row>
    <row r="63" spans="4:6" ht="15.75" thickTop="1" x14ac:dyDescent="0.25">
      <c r="D63" s="6"/>
      <c r="E63" s="6"/>
      <c r="F63" s="6"/>
    </row>
    <row r="64" spans="4:6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</sheetData>
  <mergeCells count="13">
    <mergeCell ref="D17:E17"/>
    <mergeCell ref="D18:E18"/>
    <mergeCell ref="D19:E19"/>
    <mergeCell ref="D20:E20"/>
    <mergeCell ref="D24:E24"/>
    <mergeCell ref="D25:E25"/>
    <mergeCell ref="D28:D29"/>
    <mergeCell ref="E28:E29"/>
    <mergeCell ref="F28:F29"/>
    <mergeCell ref="D13:F14"/>
    <mergeCell ref="D22:F23"/>
    <mergeCell ref="D15:E15"/>
    <mergeCell ref="D16:E16"/>
  </mergeCells>
  <dataValidations count="1">
    <dataValidation type="list" allowBlank="1" showInputMessage="1" showErrorMessage="1" sqref="F20" xr:uid="{C12BE7FF-F9F6-4578-84C8-CEB316F83E59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9F09-09B6-405B-A602-891185294CC5}">
  <dimension ref="A2:D22"/>
  <sheetViews>
    <sheetView workbookViewId="0">
      <selection activeCell="L31" sqref="L31"/>
    </sheetView>
  </sheetViews>
  <sheetFormatPr defaultRowHeight="15" x14ac:dyDescent="0.25"/>
  <cols>
    <col min="1" max="1" width="24.42578125" customWidth="1"/>
    <col min="2" max="2" width="12.140625" bestFit="1" customWidth="1"/>
    <col min="3" max="3" width="18.5703125" bestFit="1" customWidth="1"/>
    <col min="4" max="4" width="12.140625" bestFit="1" customWidth="1"/>
  </cols>
  <sheetData>
    <row r="2" spans="1:4" ht="15.75" thickBot="1" x14ac:dyDescent="0.3"/>
    <row r="3" spans="1:4" ht="16.5" thickTop="1" thickBot="1" x14ac:dyDescent="0.3">
      <c r="A3" s="58" t="s">
        <v>17</v>
      </c>
      <c r="B3" s="59" t="s">
        <v>18</v>
      </c>
      <c r="C3" s="59" t="s">
        <v>16</v>
      </c>
      <c r="D3" s="60" t="s">
        <v>19</v>
      </c>
    </row>
    <row r="4" spans="1:4" x14ac:dyDescent="0.25">
      <c r="A4" s="3" t="str">
        <f t="shared" ref="A4:A21" si="0">B4&amp;"-"&amp;C4</f>
        <v>Conservador-PAPEL</v>
      </c>
      <c r="B4" s="64" t="s">
        <v>5</v>
      </c>
      <c r="C4" s="64" t="s">
        <v>9</v>
      </c>
      <c r="D4" s="65">
        <v>0.3</v>
      </c>
    </row>
    <row r="5" spans="1:4" x14ac:dyDescent="0.25">
      <c r="A5" s="3" t="str">
        <f t="shared" si="0"/>
        <v>Conservador-TIJOLO</v>
      </c>
      <c r="B5" s="1" t="s">
        <v>5</v>
      </c>
      <c r="C5" s="1" t="s">
        <v>10</v>
      </c>
      <c r="D5" s="4">
        <v>0.5</v>
      </c>
    </row>
    <row r="6" spans="1:4" x14ac:dyDescent="0.25">
      <c r="A6" s="3" t="str">
        <f t="shared" si="0"/>
        <v>Conservador-HIBRIDOS</v>
      </c>
      <c r="B6" s="1" t="s">
        <v>5</v>
      </c>
      <c r="C6" s="1" t="s">
        <v>20</v>
      </c>
      <c r="D6" s="4">
        <v>0.1</v>
      </c>
    </row>
    <row r="7" spans="1:4" x14ac:dyDescent="0.25">
      <c r="A7" s="3" t="str">
        <f t="shared" si="0"/>
        <v>Conservador-FOFS</v>
      </c>
      <c r="B7" s="1" t="s">
        <v>5</v>
      </c>
      <c r="C7" s="1" t="s">
        <v>12</v>
      </c>
      <c r="D7" s="4">
        <v>0.1</v>
      </c>
    </row>
    <row r="8" spans="1:4" x14ac:dyDescent="0.25">
      <c r="A8" s="3" t="str">
        <f t="shared" si="0"/>
        <v>Conservador-DESENVOLVIMENTO</v>
      </c>
      <c r="B8" s="1" t="s">
        <v>5</v>
      </c>
      <c r="C8" s="1" t="s">
        <v>13</v>
      </c>
      <c r="D8" s="4">
        <v>0</v>
      </c>
    </row>
    <row r="9" spans="1:4" ht="15.75" thickBot="1" x14ac:dyDescent="0.3">
      <c r="A9" s="66" t="str">
        <f t="shared" si="0"/>
        <v>Conservador-HOTELARIA</v>
      </c>
      <c r="B9" s="67" t="s">
        <v>5</v>
      </c>
      <c r="C9" s="67" t="s">
        <v>14</v>
      </c>
      <c r="D9" s="68">
        <v>0</v>
      </c>
    </row>
    <row r="10" spans="1:4" x14ac:dyDescent="0.25">
      <c r="A10" s="2" t="str">
        <f t="shared" si="0"/>
        <v>Moderado-PAPEL</v>
      </c>
      <c r="B10" s="64" t="s">
        <v>6</v>
      </c>
      <c r="C10" s="64" t="s">
        <v>9</v>
      </c>
      <c r="D10" s="65">
        <v>0.32</v>
      </c>
    </row>
    <row r="11" spans="1:4" x14ac:dyDescent="0.25">
      <c r="A11" s="3" t="str">
        <f t="shared" si="0"/>
        <v>Moderado-TIJOLO</v>
      </c>
      <c r="B11" s="1" t="s">
        <v>6</v>
      </c>
      <c r="C11" s="1" t="s">
        <v>10</v>
      </c>
      <c r="D11" s="4">
        <v>0.4</v>
      </c>
    </row>
    <row r="12" spans="1:4" x14ac:dyDescent="0.25">
      <c r="A12" s="3" t="str">
        <f t="shared" si="0"/>
        <v>Moderado-HÍBRIDOS</v>
      </c>
      <c r="B12" s="1" t="s">
        <v>6</v>
      </c>
      <c r="C12" s="1" t="s">
        <v>11</v>
      </c>
      <c r="D12" s="4">
        <v>0.08</v>
      </c>
    </row>
    <row r="13" spans="1:4" x14ac:dyDescent="0.25">
      <c r="A13" s="3" t="str">
        <f t="shared" si="0"/>
        <v>Moderado-FOFS</v>
      </c>
      <c r="B13" s="1" t="s">
        <v>6</v>
      </c>
      <c r="C13" s="1" t="s">
        <v>12</v>
      </c>
      <c r="D13" s="4">
        <v>0.1</v>
      </c>
    </row>
    <row r="14" spans="1:4" x14ac:dyDescent="0.25">
      <c r="A14" s="3" t="str">
        <f t="shared" si="0"/>
        <v>Moderado-DESENVOLVIMENTO</v>
      </c>
      <c r="B14" s="1" t="s">
        <v>6</v>
      </c>
      <c r="C14" s="1" t="s">
        <v>13</v>
      </c>
      <c r="D14" s="4">
        <v>0.05</v>
      </c>
    </row>
    <row r="15" spans="1:4" ht="15.75" thickBot="1" x14ac:dyDescent="0.3">
      <c r="A15" s="66" t="str">
        <f t="shared" si="0"/>
        <v>Moderado-HOTELARIA</v>
      </c>
      <c r="B15" s="67" t="s">
        <v>6</v>
      </c>
      <c r="C15" s="67" t="s">
        <v>14</v>
      </c>
      <c r="D15" s="68">
        <v>0.05</v>
      </c>
    </row>
    <row r="16" spans="1:4" x14ac:dyDescent="0.25">
      <c r="A16" s="61" t="str">
        <f t="shared" si="0"/>
        <v>Agressivo-PAPEL</v>
      </c>
      <c r="B16" s="62" t="s">
        <v>7</v>
      </c>
      <c r="C16" s="62" t="s">
        <v>9</v>
      </c>
      <c r="D16" s="63">
        <v>0.5</v>
      </c>
    </row>
    <row r="17" spans="1:4" x14ac:dyDescent="0.25">
      <c r="A17" s="53" t="str">
        <f t="shared" si="0"/>
        <v>Agressivo-TIJOLO</v>
      </c>
      <c r="B17" s="1" t="s">
        <v>7</v>
      </c>
      <c r="C17" s="1" t="s">
        <v>10</v>
      </c>
      <c r="D17" s="54">
        <v>0.1</v>
      </c>
    </row>
    <row r="18" spans="1:4" x14ac:dyDescent="0.25">
      <c r="A18" s="53" t="str">
        <f t="shared" si="0"/>
        <v>Agressivo-HIBRIDOS</v>
      </c>
      <c r="B18" s="1" t="s">
        <v>7</v>
      </c>
      <c r="C18" s="1" t="s">
        <v>20</v>
      </c>
      <c r="D18" s="54">
        <v>0.05</v>
      </c>
    </row>
    <row r="19" spans="1:4" x14ac:dyDescent="0.25">
      <c r="A19" s="53" t="str">
        <f t="shared" si="0"/>
        <v>Agressivo-FOFS</v>
      </c>
      <c r="B19" s="1" t="s">
        <v>7</v>
      </c>
      <c r="C19" s="1" t="s">
        <v>12</v>
      </c>
      <c r="D19" s="54">
        <v>0.05</v>
      </c>
    </row>
    <row r="20" spans="1:4" x14ac:dyDescent="0.25">
      <c r="A20" s="53" t="str">
        <f t="shared" si="0"/>
        <v>Agressivo-DESENVOLVIMENTO</v>
      </c>
      <c r="B20" s="1" t="s">
        <v>7</v>
      </c>
      <c r="C20" s="1" t="s">
        <v>13</v>
      </c>
      <c r="D20" s="54">
        <v>0.2</v>
      </c>
    </row>
    <row r="21" spans="1:4" ht="15.75" thickBot="1" x14ac:dyDescent="0.3">
      <c r="A21" s="55" t="str">
        <f t="shared" si="0"/>
        <v>Agressivo-HOTELARIA</v>
      </c>
      <c r="B21" s="56" t="s">
        <v>7</v>
      </c>
      <c r="C21" s="56" t="s">
        <v>14</v>
      </c>
      <c r="D21" s="57">
        <v>0.1</v>
      </c>
    </row>
    <row r="22" spans="1:4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FIIs - Análise Investimeno</vt:lpstr>
      <vt:lpstr>Perfis</vt:lpstr>
      <vt:lpstr>aporte</vt:lpstr>
      <vt:lpstr>perfil</vt:lpstr>
      <vt:lpstr>prazo_anos</vt:lpstr>
      <vt:lpstr>salario</vt:lpstr>
      <vt:lpstr>tax_rendimento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Bononi</dc:creator>
  <cp:lastModifiedBy>Alexandre Bononi</cp:lastModifiedBy>
  <dcterms:created xsi:type="dcterms:W3CDTF">2026-02-04T14:50:37Z</dcterms:created>
  <dcterms:modified xsi:type="dcterms:W3CDTF">2026-02-04T19:25:47Z</dcterms:modified>
</cp:coreProperties>
</file>